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0fc78cc5f49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b0477a915d84871"/>
    <x:sheet xmlns:r="http://schemas.openxmlformats.org/officeDocument/2006/relationships" name="원본데이터" sheetId="2" r:id="Raa6cfb4420d74292"/>
    <x:sheet xmlns:r="http://schemas.openxmlformats.org/officeDocument/2006/relationships" name="설정" sheetId="3" r:id="Rfa3e9a48519c4317"/>
    <x:sheet xmlns:r="http://schemas.openxmlformats.org/officeDocument/2006/relationships" name="사용안내" sheetId="4" r:id="R11863573a1eb48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.00"/>
    <x:numFmt numFmtId="202" formatCode="0.00%"/>
    <x:numFmt numFmtId="203" formatCode="#,##0"/>
    <x:numFmt numFmtId="204" formatCode="@"/>
    <x:numFmt numFmtId="205" formatCode="#,##0&quot;억&quot;"/>
  </x:numFmts>
  <x:fonts count="18">
    <x:font>
      <x:sz val="11"/>
      <x:name val="Carlito"/>
    </x:font>
    <x:font>
      <x:sz val="11"/>
      <x:color rgb="FF252423"/>
      <x:name val="Aptos"/>
    </x:font>
    <x:font>
      <x:b/>
      <x:sz val="11"/>
      <x:color rgb="FFFFFFFF"/>
      <x:name val="Aptos"/>
    </x:font>
    <x:font>
      <x:b/>
      <x:sz val="11"/>
      <x:color rgb="FF252423"/>
      <x:name val="Aptos"/>
    </x:font>
    <x:font>
      <x:sz val="11"/>
      <x:color rgb="FF3567B3"/>
      <x:name val="Aptos"/>
    </x:font>
    <x:font>
      <x:b/>
      <x:sz val="18"/>
      <x:color rgb="FFFFFFFF"/>
      <x:name val="Aptos"/>
    </x:font>
    <x:font>
      <x:sz val="10"/>
      <x:color rgb="FF605E5C"/>
      <x:name val="Aptos"/>
    </x:font>
    <x:font>
      <x:sz val="10"/>
      <x:color rgb="FF252423"/>
      <x:name val="Aptos"/>
    </x:font>
    <x:font>
      <x:b/>
      <x:sz val="10"/>
      <x:color rgb="FF605E5C"/>
      <x:name val="Aptos"/>
    </x:font>
    <x:font>
      <x:b/>
      <x:sz val="20"/>
      <x:color rgb="FF252423"/>
      <x:name val="Aptos"/>
    </x:font>
    <x:font>
      <x:b/>
      <x:sz val="10"/>
      <x:color rgb="FFFFFFFF"/>
      <x:name val="Aptos"/>
    </x:font>
    <x:font>
      <x:sz val="10"/>
      <x:color rgb="FF3567B3"/>
      <x:name val="Aptos"/>
    </x:font>
    <x:font>
      <x:sz val="9"/>
      <x:color rgb="FF605E5C"/>
      <x:name val="Aptos"/>
    </x:font>
    <x:font>
      <x:b/>
      <x:sz val="16"/>
      <x:color rgb="FFFFFFFF"/>
      <x:name val="Aptos"/>
    </x:font>
    <x:font>
      <x:b/>
      <x:sz val="10"/>
      <x:color rgb="FF3567B3"/>
      <x:name val="Aptos"/>
    </x:font>
    <x:font>
      <x:b/>
      <x:sz val="10"/>
      <x:color rgb="FFA34D4D"/>
      <x:name val="Aptos"/>
    </x:font>
    <x:font>
      <x:b/>
      <x:sz val="10"/>
      <x:color rgb="FF3F6F9F"/>
      <x:name val="Aptos"/>
    </x:font>
    <x:font>
      <x:b/>
      <x:sz val="10"/>
      <x:color rgb="FFC00000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FF107C41"/>
      </x:patternFill>
    </x:fill>
    <x:fill>
      <x:patternFill patternType="solid">
        <x:fgColor rgb="FFF3F6F4"/>
      </x:patternFill>
    </x:fill>
    <x:fill>
      <x:patternFill patternType="solid">
        <x:fgColor rgb="FFA34D4D"/>
      </x:patternFill>
    </x:fill>
    <x:fill>
      <x:patternFill patternType="solid">
        <x:fgColor rgb="FF3F6F9F"/>
      </x:patternFill>
    </x:fill>
    <x:fill>
      <x:patternFill patternType="solid">
        <x:fgColor rgb="FFDCDEDD"/>
      </x:patternFill>
    </x:fill>
    <x:fill>
      <x:patternFill patternType="solid">
        <x:fgColor rgb="FFF8F8F8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185C37"/>
      </x:patternFill>
    </x:fill>
    <x:fill>
      <x:patternFill patternType="solid">
        <x:fgColor rgb="FF217346"/>
      </x:patternFill>
    </x:fill>
    <x:fill>
      <x:patternFill patternType="solid">
        <x:fgColor rgb="FF252423"/>
      </x:patternFill>
    </x:fill>
    <x:fill>
      <x:patternFill patternType="solid">
        <x:fgColor rgb="FF3567B3"/>
      </x:patternFill>
    </x:fill>
  </x:fills>
  <x:borders count="16">
    <x:border/>
    <x:border>
      <x:left style="thin">
        <x:color rgb="FFDCDEDD"/>
      </x:left>
      <x:right style="thin">
        <x:color rgb="FFDCDEDD"/>
      </x:right>
      <x:top style="thin">
        <x:color rgb="FFDCDEDD"/>
      </x:top>
      <x:bottom style="thin">
        <x:color rgb="FFDCDEDD"/>
      </x:bottom>
    </x:border>
    <x:border>
      <x:left style="thin">
        <x:color rgb="FF217346"/>
      </x:left>
      <x:top style="thin">
        <x:color rgb="FF217346"/>
      </x:top>
      <x:bottom style="thin">
        <x:color rgb="FF217346"/>
      </x:bottom>
    </x:border>
    <x:border>
      <x:top style="thin">
        <x:color rgb="FF217346"/>
      </x:top>
      <x:bottom style="thin">
        <x:color rgb="FF217346"/>
      </x:bottom>
    </x:border>
    <x:border>
      <x:right style="thin">
        <x:color rgb="FF217346"/>
      </x:right>
      <x:top style="thin">
        <x:color rgb="FF217346"/>
      </x:top>
      <x:bottom style="thin">
        <x:color rgb="FF217346"/>
      </x:bottom>
    </x:border>
    <x:border>
      <x:left style="thin">
        <x:color rgb="FFDCDEDD"/>
      </x:left>
      <x:top style="thin">
        <x:color rgb="FFDCDEDD"/>
      </x:top>
      <x:bottom style="thin">
        <x:color rgb="FFDCDEDD"/>
      </x:bottom>
    </x:border>
    <x:border>
      <x:top style="thin">
        <x:color rgb="FFDCDEDD"/>
      </x:top>
      <x:bottom style="thin">
        <x:color rgb="FFDCDEDD"/>
      </x:bottom>
    </x:border>
    <x:border>
      <x:right style="thin">
        <x:color rgb="FFDCDEDD"/>
      </x:right>
      <x:top style="thin">
        <x:color rgb="FFDCDEDD"/>
      </x:top>
      <x:bottom style="thin">
        <x:color rgb="FFDCDEDD"/>
      </x:bottom>
    </x:border>
    <x:border>
      <x:left style="thin">
        <x:color rgb="FFDCDEDD"/>
      </x:left>
      <x:top style="thin">
        <x:color rgb="FFDCDEDD"/>
      </x:top>
    </x:border>
    <x:border>
      <x:top style="thin">
        <x:color rgb="FFDCDEDD"/>
      </x:top>
    </x:border>
    <x:border>
      <x:right style="thin">
        <x:color rgb="FFDCDEDD"/>
      </x:right>
      <x:top style="thin">
        <x:color rgb="FFDCDEDD"/>
      </x:top>
    </x:border>
    <x:border>
      <x:left style="thin">
        <x:color rgb="FFDCDEDD"/>
      </x:left>
      <x:bottom style="thin">
        <x:color rgb="FFDCDEDD"/>
      </x:bottom>
    </x:border>
    <x:border>
      <x:bottom style="thin">
        <x:color rgb="FFDCDEDD"/>
      </x:bottom>
    </x:border>
    <x:border>
      <x:right style="thin">
        <x:color rgb="FFDCDEDD"/>
      </x:right>
      <x:bottom style="thin">
        <x:color rgb="FFDCDEDD"/>
      </x:bottom>
    </x:border>
    <x:border>
      <x:left style="thin">
        <x:color rgb="FFDCDEDD"/>
      </x:left>
    </x:border>
    <x:border>
      <x:right style="thin">
        <x:color rgb="FFDCDEDD"/>
      </x:right>
    </x:border>
  </x:borders>
  <x:cellStyleXfs count="1">
    <x:xf numFmtId="0" fontId="0" fillId="0" borderId="0"/>
  </x:cellStyleXfs>
  <x:cellXfs count="1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left" vertical="center"/>
    </x:xf>
    <x:xf numFmtId="0" fontId="1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200" fontId="7" fillId="3" borderId="0" xfId="0" applyNumberFormat="1" applyFont="1" applyFill="1" applyBorder="1" applyAlignment="1">
      <x:alignment vertical="center"/>
    </x:xf>
    <x:xf numFmtId="200" fontId="7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200" fontId="7" fillId="8" borderId="2" xfId="0" applyNumberFormat="1" applyFont="1" applyFill="1" applyBorder="1" applyAlignment="1">
      <x:alignment vertical="center"/>
    </x:xf>
    <x:xf numFmtId="0" fontId="7" fillId="3" borderId="3" xfId="0" applyNumberFormat="1" applyFont="1" applyFill="1" applyBorder="1" applyAlignment="1">
      <x:alignment vertical="center"/>
    </x:xf>
    <x:xf numFmtId="0" fontId="7" fillId="8" borderId="4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vertical="center"/>
    </x:xf>
    <x:xf numFmtId="0" fontId="8" fillId="3" borderId="5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vertical="center"/>
    </x:xf>
    <x:xf numFmtId="0" fontId="8" fillId="3" borderId="7" xfId="0" applyNumberFormat="1" applyFont="1" applyFill="1" applyBorder="1" applyAlignment="1">
      <x:alignment vertical="center"/>
    </x:xf>
    <x:xf numFmtId="0" fontId="9" fillId="9" borderId="8" xfId="0" applyNumberFormat="1" applyFont="1" applyFill="1" applyBorder="1" applyAlignment="1">
      <x:alignment vertical="center"/>
    </x:xf>
    <x:xf numFmtId="0" fontId="9" fillId="9" borderId="9" xfId="0" applyNumberFormat="1" applyFont="1" applyFill="1" applyBorder="1" applyAlignment="1">
      <x:alignment vertical="center"/>
    </x:xf>
    <x:xf numFmtId="0" fontId="9" fillId="9" borderId="10" xfId="0" applyNumberFormat="1" applyFont="1" applyFill="1" applyBorder="1" applyAlignment="1">
      <x:alignment vertical="center"/>
    </x:xf>
    <x:xf numFmtId="0" fontId="9" fillId="9" borderId="11" xfId="0" applyNumberFormat="1" applyFont="1" applyFill="1" applyBorder="1" applyAlignment="1">
      <x:alignment vertical="center"/>
    </x:xf>
    <x:xf numFmtId="0" fontId="9" fillId="9" borderId="12" xfId="0" applyNumberFormat="1" applyFont="1" applyFill="1" applyBorder="1" applyAlignment="1">
      <x:alignment vertical="center"/>
    </x:xf>
    <x:xf numFmtId="0" fontId="9" fillId="9" borderId="13" xfId="0" applyNumberFormat="1" applyFont="1" applyFill="1" applyBorder="1" applyAlignment="1">
      <x:alignment vertical="center"/>
    </x:xf>
    <x:xf numFmtId="204" fontId="9" fillId="9" borderId="8" xfId="0" applyNumberFormat="1" applyFont="1" applyFill="1" applyBorder="1" applyAlignment="1">
      <x:alignment vertical="center"/>
    </x:xf>
    <x:xf numFmtId="204" fontId="9" fillId="9" borderId="9" xfId="0" applyNumberFormat="1" applyFont="1" applyFill="1" applyBorder="1" applyAlignment="1">
      <x:alignment vertical="center"/>
    </x:xf>
    <x:xf numFmtId="204" fontId="9" fillId="9" borderId="10" xfId="0" applyNumberFormat="1" applyFont="1" applyFill="1" applyBorder="1" applyAlignment="1">
      <x:alignment vertical="center"/>
    </x:xf>
    <x:xf numFmtId="204" fontId="9" fillId="9" borderId="11" xfId="0" applyNumberFormat="1" applyFont="1" applyFill="1" applyBorder="1" applyAlignment="1">
      <x:alignment vertical="center"/>
    </x:xf>
    <x:xf numFmtId="204" fontId="9" fillId="9" borderId="12" xfId="0" applyNumberFormat="1" applyFont="1" applyFill="1" applyBorder="1" applyAlignment="1">
      <x:alignment vertical="center"/>
    </x:xf>
    <x:xf numFmtId="204" fontId="9" fillId="9" borderId="13" xfId="0" applyNumberFormat="1" applyFont="1" applyFill="1" applyBorder="1" applyAlignment="1">
      <x:alignment vertical="center"/>
    </x:xf>
    <x:xf numFmtId="201" fontId="9" fillId="9" borderId="8" xfId="0" applyNumberFormat="1" applyFont="1" applyFill="1" applyBorder="1" applyAlignment="1">
      <x:alignment vertical="center"/>
    </x:xf>
    <x:xf numFmtId="201" fontId="9" fillId="9" borderId="9" xfId="0" applyNumberFormat="1" applyFont="1" applyFill="1" applyBorder="1" applyAlignment="1">
      <x:alignment vertical="center"/>
    </x:xf>
    <x:xf numFmtId="201" fontId="9" fillId="9" borderId="10" xfId="0" applyNumberFormat="1" applyFont="1" applyFill="1" applyBorder="1" applyAlignment="1">
      <x:alignment vertical="center"/>
    </x:xf>
    <x:xf numFmtId="201" fontId="9" fillId="9" borderId="11" xfId="0" applyNumberFormat="1" applyFont="1" applyFill="1" applyBorder="1" applyAlignment="1">
      <x:alignment vertical="center"/>
    </x:xf>
    <x:xf numFmtId="201" fontId="9" fillId="9" borderId="12" xfId="0" applyNumberFormat="1" applyFont="1" applyFill="1" applyBorder="1" applyAlignment="1">
      <x:alignment vertical="center"/>
    </x:xf>
    <x:xf numFmtId="201" fontId="9" fillId="9" borderId="13" xfId="0" applyNumberFormat="1" applyFont="1" applyFill="1" applyBorder="1" applyAlignment="1">
      <x:alignment vertical="center"/>
    </x:xf>
    <x:xf numFmtId="202" fontId="9" fillId="9" borderId="8" xfId="0" applyNumberFormat="1" applyFont="1" applyFill="1" applyBorder="1" applyAlignment="1">
      <x:alignment vertical="center"/>
    </x:xf>
    <x:xf numFmtId="202" fontId="9" fillId="9" borderId="9" xfId="0" applyNumberFormat="1" applyFont="1" applyFill="1" applyBorder="1" applyAlignment="1">
      <x:alignment vertical="center"/>
    </x:xf>
    <x:xf numFmtId="202" fontId="9" fillId="9" borderId="10" xfId="0" applyNumberFormat="1" applyFont="1" applyFill="1" applyBorder="1" applyAlignment="1">
      <x:alignment vertical="center"/>
    </x:xf>
    <x:xf numFmtId="202" fontId="9" fillId="9" borderId="11" xfId="0" applyNumberFormat="1" applyFont="1" applyFill="1" applyBorder="1" applyAlignment="1">
      <x:alignment vertical="center"/>
    </x:xf>
    <x:xf numFmtId="202" fontId="9" fillId="9" borderId="12" xfId="0" applyNumberFormat="1" applyFont="1" applyFill="1" applyBorder="1" applyAlignment="1">
      <x:alignment vertical="center"/>
    </x:xf>
    <x:xf numFmtId="202" fontId="9" fillId="9" borderId="13" xfId="0" applyNumberFormat="1" applyFont="1" applyFill="1" applyBorder="1" applyAlignment="1">
      <x:alignment vertical="center"/>
    </x:xf>
    <x:xf numFmtId="205" fontId="9" fillId="9" borderId="8" xfId="0" applyNumberFormat="1" applyFont="1" applyFill="1" applyBorder="1" applyAlignment="1">
      <x:alignment vertical="center"/>
    </x:xf>
    <x:xf numFmtId="205" fontId="9" fillId="9" borderId="9" xfId="0" applyNumberFormat="1" applyFont="1" applyFill="1" applyBorder="1" applyAlignment="1">
      <x:alignment vertical="center"/>
    </x:xf>
    <x:xf numFmtId="205" fontId="9" fillId="9" borderId="10" xfId="0" applyNumberFormat="1" applyFont="1" applyFill="1" applyBorder="1" applyAlignment="1">
      <x:alignment vertical="center"/>
    </x:xf>
    <x:xf numFmtId="205" fontId="9" fillId="9" borderId="11" xfId="0" applyNumberFormat="1" applyFont="1" applyFill="1" applyBorder="1" applyAlignment="1">
      <x:alignment vertical="center"/>
    </x:xf>
    <x:xf numFmtId="205" fontId="9" fillId="9" borderId="12" xfId="0" applyNumberFormat="1" applyFont="1" applyFill="1" applyBorder="1" applyAlignment="1">
      <x:alignment vertical="center"/>
    </x:xf>
    <x:xf numFmtId="205" fontId="9" fillId="9" borderId="13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 applyAlignment="1">
      <x:alignment vertical="center"/>
    </x:xf>
    <x:xf numFmtId="201" fontId="7" fillId="9" borderId="0" xfId="0" applyNumberFormat="1" applyFont="1" applyFill="1" applyBorder="1" applyAlignment="1">
      <x:alignment vertical="center"/>
    </x:xf>
    <x:xf numFmtId="202" fontId="7" fillId="9" borderId="0" xfId="0" applyNumberFormat="1" applyFont="1" applyFill="1" applyBorder="1" applyAlignment="1">
      <x:alignment vertical="center"/>
    </x:xf>
    <x:xf numFmtId="0" fontId="10" fillId="2" borderId="1" xfId="0" applyNumberFormat="1" applyFont="1" applyFill="1" applyBorder="1" applyAlignment="1">
      <x:alignment vertical="center"/>
    </x:xf>
    <x:xf numFmtId="0" fontId="11" fillId="9" borderId="1" xfId="0" applyNumberFormat="1" applyFont="1" applyFill="1" applyBorder="1" applyAlignment="1">
      <x:alignment vertical="center"/>
    </x:xf>
    <x:xf numFmtId="201" fontId="7" fillId="9" borderId="1" xfId="0" applyNumberFormat="1" applyFont="1" applyFill="1" applyBorder="1" applyAlignment="1">
      <x:alignment vertical="center"/>
    </x:xf>
    <x:xf numFmtId="202" fontId="7" fillId="9" borderId="1" xfId="0" applyNumberFormat="1" applyFont="1" applyFill="1" applyBorder="1" applyAlignment="1">
      <x:alignment vertical="center"/>
    </x:xf>
    <x:xf numFmtId="0" fontId="7" fillId="9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vertical="center" wrapText="1"/>
    </x:xf>
    <x:xf numFmtId="0" fontId="6" fillId="7" borderId="9" xfId="0" applyNumberFormat="1" applyFont="1" applyFill="1" applyBorder="1" applyAlignment="1">
      <x:alignment vertical="center" wrapText="1"/>
    </x:xf>
    <x:xf numFmtId="0" fontId="6" fillId="7" borderId="10" xfId="0" applyNumberFormat="1" applyFont="1" applyFill="1" applyBorder="1" applyAlignment="1">
      <x:alignment vertical="center" wrapText="1"/>
    </x:xf>
    <x:xf numFmtId="0" fontId="6" fillId="7" borderId="14" xfId="0" applyNumberFormat="1" applyFont="1" applyFill="1" applyBorder="1" applyAlignment="1">
      <x:alignment vertical="center" wrapText="1"/>
    </x:xf>
    <x:xf numFmtId="0" fontId="6" fillId="7" borderId="15" xfId="0" applyNumberFormat="1" applyFont="1" applyFill="1" applyBorder="1" applyAlignment="1">
      <x:alignment vertical="center" wrapText="1"/>
    </x:xf>
    <x:xf numFmtId="0" fontId="6" fillId="7" borderId="11" xfId="0" applyNumberFormat="1" applyFont="1" applyFill="1" applyBorder="1" applyAlignment="1">
      <x:alignment vertical="center" wrapText="1"/>
    </x:xf>
    <x:xf numFmtId="0" fontId="6" fillId="7" borderId="12" xfId="0" applyNumberFormat="1" applyFont="1" applyFill="1" applyBorder="1" applyAlignment="1">
      <x:alignment vertical="center" wrapText="1"/>
    </x:xf>
    <x:xf numFmtId="0" fontId="6" fillId="7" borderId="13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 applyAlignment="1">
      <x:alignment vertical="center"/>
    </x:xf>
    <x:xf numFmtId="0" fontId="13" fillId="2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 wrapText="1"/>
    </x:xf>
    <x:xf numFmtId="0" fontId="7" fillId="9" borderId="1" xfId="0" applyNumberFormat="1" applyFont="1" applyFill="1" applyBorder="1" applyAlignment="1">
      <x:alignment vertical="center" wrapText="1"/>
    </x:xf>
    <x:xf numFmtId="0" fontId="14" fillId="9" borderId="1" xfId="0" applyNumberFormat="1" applyFont="1" applyFill="1" applyBorder="1" applyAlignment="1">
      <x:alignment vertical="center" wrapText="1"/>
    </x:xf>
    <x:xf numFmtId="0" fontId="15" fillId="9" borderId="1" xfId="0" applyNumberFormat="1" applyFont="1" applyFill="1" applyBorder="1" applyAlignment="1">
      <x:alignment vertical="center" wrapText="1"/>
    </x:xf>
    <x:xf numFmtId="0" fontId="16" fillId="9" borderId="1" xfId="0" applyNumberFormat="1" applyFont="1" applyFill="1" applyBorder="1" applyAlignment="1">
      <x:alignment vertical="center" wrapText="1"/>
    </x:xf>
    <x:xf numFmtId="0" fontId="17" fillId="9" borderId="1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/>
    </x:xf>
    <x:xf numFmtId="0" fontId="7" fillId="10" borderId="1" xfId="0" applyNumberFormat="1" applyFont="1" applyFill="1" applyBorder="1" applyAlignment="1">
      <x:alignment vertical="center"/>
    </x:xf>
    <x:xf numFmtId="0" fontId="10" fillId="10" borderId="1" xfId="0" applyNumberFormat="1" applyFont="1" applyFill="1" applyBorder="1" applyAlignment="1">
      <x:alignment vertical="center"/>
    </x:xf>
    <x:xf numFmtId="0" fontId="7" fillId="11" borderId="1" xfId="0" applyNumberFormat="1" applyFont="1" applyFill="1" applyBorder="1" applyAlignment="1">
      <x:alignment vertical="center"/>
    </x:xf>
    <x:xf numFmtId="0" fontId="10" fillId="11" borderId="1" xfId="0" applyNumberFormat="1" applyFont="1" applyFill="1" applyBorder="1" applyAlignment="1">
      <x:alignment vertical="center"/>
    </x:xf>
    <x:xf numFmtId="0" fontId="7" fillId="12" borderId="1" xfId="0" applyNumberFormat="1" applyFont="1" applyFill="1" applyBorder="1" applyAlignment="1">
      <x:alignment vertical="center"/>
    </x:xf>
    <x:xf numFmtId="0" fontId="10" fillId="12" borderId="1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/>
    </x:xf>
    <x:xf numFmtId="0" fontId="7" fillId="6" borderId="1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  <x:xf numFmtId="0" fontId="10" fillId="4" borderId="1" xfId="0" applyNumberFormat="1" applyFont="1" applyFill="1" applyBorder="1" applyAlignment="1">
      <x:alignment vertical="center"/>
    </x:xf>
    <x:xf numFmtId="0" fontId="7" fillId="5" borderId="1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 applyAlignment="1">
      <x:alignment vertical="center"/>
    </x:xf>
    <x:xf numFmtId="0" fontId="7" fillId="13" borderId="1" xfId="0" applyNumberFormat="1" applyFont="1" applyFill="1" applyBorder="1" applyAlignment="1">
      <x:alignment vertical="center"/>
    </x:xf>
    <x:xf numFmtId="0" fontId="10" fillId="13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8">
    <x:dxf>
      <x:font>
        <x:b/>
        <x:color rgb="FFA34D4D"/>
      </x:font>
      <x:fill>
        <x:patternFill patternType="solid">
          <x:bgColor rgb="FFF5E9E9"/>
        </x:patternFill>
      </x:fill>
    </x:dxf>
    <x:dxf>
      <x:font>
        <x:b/>
        <x:color rgb="FF3F6F9F"/>
      </x:font>
      <x:fill>
        <x:patternFill patternType="solid">
          <x:bgColor rgb="FFE8EEF7"/>
        </x:patternFill>
      </x:fill>
    </x:dxf>
    <x:dxf>
      <x:font>
        <x:b/>
        <x:color rgb="FFA34D4D"/>
      </x:font>
      <x:fill>
        <x:patternFill patternType="solid">
          <x:bgColor rgb="FFF5E9E9"/>
        </x:patternFill>
      </x:fill>
    </x:dxf>
    <x:dxf>
      <x:font>
        <x:b/>
        <x:color rgb="FF3F6F9F"/>
      </x:font>
      <x:fill>
        <x:patternFill patternType="solid">
          <x:bgColor rgb="FFE8EEF7"/>
        </x:patternFill>
      </x:fill>
    </x:dxf>
    <x:dxf>
      <x:font>
        <x:b/>
        <x:color rgb="FFA34D4D"/>
      </x:font>
      <x:fill>
        <x:patternFill patternType="solid">
          <x:bgColor rgb="FFF5E9E9"/>
        </x:patternFill>
      </x:fill>
    </x:dxf>
    <x:dxf>
      <x:font>
        <x:b/>
        <x:color rgb="FF3F6F9F"/>
      </x:font>
      <x:fill>
        <x:patternFill patternType="solid">
          <x:bgColor rgb="FFE8EEF7"/>
        </x:patternFill>
      </x:fill>
    </x:dxf>
    <x:dxf>
      <x:font>
        <x:b/>
        <x:color rgb="FFA34D4D"/>
      </x:font>
      <x:fill>
        <x:patternFill patternType="solid">
          <x:bgColor rgb="FFF5E9E9"/>
        </x:patternFill>
      </x:fill>
    </x:dxf>
    <x:dxf>
      <x:font>
        <x:b/>
        <x:color rgb="FF3F6F9F"/>
      </x:font>
      <x:fill>
        <x:patternFill patternType="solid">
          <x:bgColor rgb="FFE8EE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1be560700940af" /><Relationship Type="http://schemas.openxmlformats.org/officeDocument/2006/relationships/theme" Target="/xl/theme/theme1.xml" Id="Ra71c21b4fdd9468e" /><Relationship Type="http://schemas.openxmlformats.org/officeDocument/2006/relationships/sharedStrings" Target="/xl/sharedStrings.xml" Id="R9eebe5384c70448e" /><Relationship Type="http://schemas.openxmlformats.org/officeDocument/2006/relationships/worksheet" Target="/xl/worksheets/sheet1.xml" Id="Reb0477a915d84871" /><Relationship Type="http://schemas.openxmlformats.org/officeDocument/2006/relationships/worksheet" Target="/xl/worksheets/sheet2.xml" Id="Raa6cfb4420d74292" /><Relationship Type="http://schemas.openxmlformats.org/officeDocument/2006/relationships/worksheet" Target="/xl/worksheets/sheet3.xml" Id="Rfa3e9a48519c4317" /><Relationship Type="http://schemas.openxmlformats.org/officeDocument/2006/relationships/worksheet" Target="/xl/worksheets/sheet4.xml" Id="R11863573a1eb48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b9be87babd64c8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ptos"/>
                <a:ea typeface="Aptos"/>
                <a:cs typeface="Aptos"/>
              </a:rPr>
              <a:t>최근 5거래일 지수 흐름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ptos"/>
              <a:ea typeface="Aptos"/>
              <a:cs typeface="Aptos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KOSPI</c:v>
          </c:tx>
          <c:spPr>
            <a:ln xmlns:a="http://schemas.openxmlformats.org/drawingml/2006/main" w="19050">
              <a:solidFill>
                <a:srgbClr val="107C41"/>
              </a:solidFill>
              <a:prstDash val="solid"/>
            </a:ln>
          </c:spPr>
          <c:marker>
            <c:symbol val="none"/>
          </c:marker>
          <c:cat>
            <c:strRef>
              <c:f>'Dashboard'!$P$3:$P$7</c:f>
              <c:strCache>
                <c:ptCount val="0"/>
              </c:strCache>
            </c:strRef>
          </c:cat>
          <c:val>
            <c:numRef>
              <c:f>'Dashboard'!$Q$3:$Q$7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KOSDAQ</c:v>
          </c:tx>
          <c:spPr>
            <a:ln xmlns:a="http://schemas.openxmlformats.org/drawingml/2006/main" w="19050">
              <a:solidFill>
                <a:srgbClr val="3567B3"/>
              </a:solidFill>
              <a:prstDash val="solid"/>
            </a:ln>
          </c:spPr>
          <c:marker>
            <c:symbol val="none"/>
          </c:marker>
          <c:cat>
            <c:strRef>
              <c:f>'Dashboard'!$P$3:$P$7</c:f>
              <c:strCache>
                <c:ptCount val="0"/>
              </c:strCache>
            </c:strRef>
          </c:cat>
          <c:val>
            <c:numRef>
              <c:f>'Dashboard'!$R$3:$R$7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11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9be87babd64c8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tblDashboardMarket" displayName="tblDashboardMarket" ref="A12:G19" headerRowCount="1" totalsRowCount="0" totalsRowShown="0">
  <x:tableColumns count="7">
    <x:tableColumn id="1" name="종목/지수"/>
    <x:tableColumn id="2" name="유형"/>
    <x:tableColumn id="3" name="현재가"/>
    <x:tableColumn id="4" name="전일 종가"/>
    <x:tableColumn id="5" name="등락"/>
    <x:tableColumn id="6" name="등락률"/>
    <x:tableColumn id="7" name="상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blMarket" displayName="tblMarket" ref="A1:J8" headerRowCount="1" totalsRowCount="0" totalsRowShown="0">
  <x:tableColumns count="10">
    <x:tableColumn id="1" name="종목/지수"/>
    <x:tableColumn id="2" name="유형"/>
    <x:tableColumn id="3" name="현재가"/>
    <x:tableColumn id="4" name="전일 종가"/>
    <x:tableColumn id="5" name="등락"/>
    <x:tableColumn id="6" name="등락률"/>
    <x:tableColumn id="7" name="거래량"/>
    <x:tableColumn id="8" name="외인 순매수(억원)"/>
    <x:tableColumn id="9" name="기관 순매수(억원)"/>
    <x:tableColumn id="10" name="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a16fc1d02f84879" /><Relationship Type="http://schemas.openxmlformats.org/officeDocument/2006/relationships/table" Target="/xl/tables/table1.xml" Id="R3461af12768348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a7f86a9095545b6" /></Relationships>
</file>

<file path=xl/worksheets/sheet1.xml><?xml version="1.0" encoding="utf-8"?>
<x:worksheet xmlns:x="http://schemas.openxmlformats.org/spreadsheetml/2006/main">
  <x:sheetPr>
    <x:tabColor rgb="FF107C41"/>
  </x:sheetPr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5" hidden="0" customWidth="1"/>
    <x:col min="4" max="4" width="15" hidden="0" customWidth="1"/>
    <x:col min="5" max="5" width="18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31" t="str">
        <x:v>시장 브리핑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P2" t="str">
        <x:f>"기준일"</x:f>
        <x:v>기준일</x:v>
      </x:c>
      <x:c r="Q2" t="str">
        <x:f>'원본데이터'!L1</x:f>
        <x:v>KOSPI</x:v>
      </x:c>
      <x:c r="R2" t="str">
        <x:f>'원본데이터'!M1</x:f>
        <x:v>KOSDAQ</x:v>
      </x:c>
    </x:row>
    <x:row r="3" ht="15" hidden="0" customHeight="1">
      <x:c r="A3" s="33" t="str">
        <x:v>ExcelT 예시 · 숫자 입력과 계산 흐름을 먼저 이해하는 시장 대시보드</x:v>
      </x:c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P3" t="str">
        <x:f>TEXT('원본데이터'!K2,"mm-dd")</x:f>
        <x:v>09-14</x:v>
      </x:c>
      <x:c r="Q3" s="87" t="n">
        <x:f>'원본데이터'!L2</x:f>
        <x:v>6625.81</x:v>
      </x:c>
      <x:c r="R3" s="87" t="n">
        <x:f>'원본데이터'!M2</x:f>
        <x:v>815.31</x:v>
      </x:c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P4" t="str">
        <x:f>TEXT('원본데이터'!K3,"mm-dd")</x:f>
        <x:v>09-15</x:v>
      </x:c>
      <x:c r="Q4" s="87" t="n">
        <x:f>'원본데이터'!L3</x:f>
        <x:v>6680.32</x:v>
      </x:c>
      <x:c r="R4" s="87" t="n">
        <x:f>'원본데이터'!M3</x:f>
        <x:v>820.1</x:v>
      </x:c>
    </x:row>
    <x:row r="5" ht="15" hidden="0" customHeight="1">
      <x:c r="A5" s="34" t="str">
        <x:v>기준일</x:v>
      </x:c>
      <x:c r="B5" s="38" t="n">
        <x:v>46283</x:v>
      </x:c>
      <x:c r="C5" s="39" t="str">
        <x:v>시장 선택</x:v>
      </x:c>
      <x:c r="D5" s="40" t="str">
        <x:v>KOSPI</x:v>
      </x:c>
      <x:c r="E5" s="34" t="str">
        <x:v>입력 안내</x:v>
      </x:c>
      <x:c r="F5" s="34" t="str">
        <x:v>파란 글자는 입력값</x:v>
      </x:c>
      <x:c r="G5" s="34" t="str">
        <x:v>갱신 상태</x:v>
      </x:c>
      <x:c r="H5" s="34" t="str">
        <x:v>수동</x:v>
      </x:c>
      <x:c r="I5" s="34" t="str"/>
      <x:c r="J5" s="34" t="str"/>
      <x:c r="K5" s="34" t="str"/>
      <x:c r="L5" s="34" t="str"/>
      <x:c r="M5" s="34" t="str"/>
      <x:c r="N5" s="34" t="str"/>
      <x:c r="P5" t="str">
        <x:f>TEXT('원본데이터'!K4,"mm-dd")</x:f>
        <x:v>09-16</x:v>
      </x:c>
      <x:c r="Q5" s="87" t="n">
        <x:f>'원본데이터'!L4</x:f>
        <x:v>6702.42</x:v>
      </x:c>
      <x:c r="R5" s="87" t="n">
        <x:f>'원본데이터'!M4</x:f>
        <x:v>824.55</x:v>
      </x:c>
    </x:row>
    <x:row r="6" ht="15" hidden="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P6" t="str">
        <x:f>TEXT('원본데이터'!K5,"mm-dd")</x:f>
        <x:v>09-17</x:v>
      </x:c>
      <x:c r="Q6" s="87" t="n">
        <x:f>'원본데이터'!L5</x:f>
        <x:v>6715.24</x:v>
      </x:c>
      <x:c r="R6" s="87" t="n">
        <x:f>'원본데이터'!M5</x:f>
        <x:v>822.21</x:v>
      </x:c>
    </x:row>
    <x:row r="7" ht="15" hidden="0" customHeight="1">
      <x:c r="A7" s="44" t="str">
        <x:v>선택 지수</x:v>
      </x:c>
      <x:c r="B7" s="45" t="str">
        <x:v>선택 지수</x:v>
      </x:c>
      <x:c r="C7" s="46" t="str">
        <x:v>선택 지수</x:v>
      </x:c>
      <x:c r="D7" s="44" t="str">
        <x:v>현재가</x:v>
      </x:c>
      <x:c r="E7" s="45" t="str">
        <x:v>현재가</x:v>
      </x:c>
      <x:c r="F7" s="46" t="str">
        <x:v>현재가</x:v>
      </x:c>
      <x:c r="G7" s="44" t="str">
        <x:v>일간 변동률</x:v>
      </x:c>
      <x:c r="H7" s="45" t="str">
        <x:v>일간 변동률</x:v>
      </x:c>
      <x:c r="I7" s="46" t="str">
        <x:v>일간 변동률</x:v>
      </x:c>
      <x:c r="J7" s="44" t="str">
        <x:v>외인 순매수</x:v>
      </x:c>
      <x:c r="K7" s="45" t="str">
        <x:v>외인 순매수</x:v>
      </x:c>
      <x:c r="L7" s="46" t="str">
        <x:v>외인 순매수</x:v>
      </x:c>
      <x:c r="M7" s="2"/>
      <x:c r="N7" s="2"/>
      <x:c r="P7" t="str">
        <x:f>TEXT('원본데이터'!K6,"mm-dd")</x:f>
        <x:v>09-18</x:v>
      </x:c>
      <x:c r="Q7" s="87" t="n">
        <x:f>'원본데이터'!L6</x:f>
        <x:v>6871.01</x:v>
      </x:c>
      <x:c r="R7" s="87" t="n">
        <x:f>'원본데이터'!M6</x:f>
        <x:v>830.43</x:v>
      </x:c>
    </x:row>
    <x:row r="8" ht="15" hidden="0" customHeight="1">
      <x:c r="A8" s="53" t="str">
        <x:f>$D$5</x:f>
        <x:v>KOSPI</x:v>
      </x:c>
      <x:c r="B8" s="54"/>
      <x:c r="C8" s="55"/>
      <x:c r="D8" s="59" t="n">
        <x:f>IF($D$5="KOSPI",'원본데이터'!$C$2,'원본데이터'!$C$3)</x:f>
        <x:v>6871.01</x:v>
      </x:c>
      <x:c r="E8" s="60"/>
      <x:c r="F8" s="61"/>
      <x:c r="G8" s="65" t="n">
        <x:f>IF($D$5="KOSPI",'원본데이터'!$F$2,'원본데이터'!$F$3)</x:f>
        <x:v>0.023196490371155825</x:v>
      </x:c>
      <x:c r="H8" s="66"/>
      <x:c r="I8" s="67"/>
      <x:c r="J8" s="71" t="n">
        <x:f>IF($D$5="KOSPI",'원본데이터'!$H$2,'원본데이터'!$H$3)</x:f>
        <x:v>695</x:v>
      </x:c>
      <x:c r="K8" s="72"/>
      <x:c r="L8" s="73"/>
      <x:c r="M8" s="2"/>
      <x:c r="N8" s="2"/>
    </x:row>
    <x:row r="9" ht="15" hidden="0" customHeight="1">
      <x:c r="A9" s="56"/>
      <x:c r="B9" s="57"/>
      <x:c r="C9" s="58"/>
      <x:c r="D9" s="62"/>
      <x:c r="E9" s="63"/>
      <x:c r="F9" s="64"/>
      <x:c r="G9" s="68"/>
      <x:c r="H9" s="69"/>
      <x:c r="I9" s="70"/>
      <x:c r="J9" s="74"/>
      <x:c r="K9" s="75"/>
      <x:c r="L9" s="76"/>
      <x:c r="M9" s="2"/>
      <x:c r="N9" s="2"/>
    </x:row>
    <x:row r="10" ht="15" hidden="0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15" hidden="0" customHeight="1">
      <x:c r="A11" s="6" t="str">
        <x:v>시장 현황</x:v>
      </x:c>
      <x:c r="B11" s="6"/>
      <x:c r="C11" s="6"/>
      <x:c r="D11" s="6"/>
      <x:c r="E11" s="6"/>
      <x:c r="F11" s="6"/>
      <x:c r="G11" s="6"/>
      <x:c r="H11" s="2"/>
      <x:c r="I11" s="6" t="str">
        <x:v>지수 흐름</x:v>
      </x:c>
      <x:c r="J11" s="6"/>
      <x:c r="K11" s="6"/>
      <x:c r="L11" s="6"/>
      <x:c r="M11" s="6"/>
      <x:c r="N11" s="6"/>
    </x:row>
    <x:row r="12" ht="15" hidden="0" customHeight="1">
      <x:c r="A12" s="82" t="str">
        <x:v>종목/지수</x:v>
      </x:c>
      <x:c r="B12" s="82" t="str">
        <x:v>유형</x:v>
      </x:c>
      <x:c r="C12" s="82" t="str">
        <x:v>현재가</x:v>
      </x:c>
      <x:c r="D12" s="82" t="str">
        <x:v>전일 종가</x:v>
      </x:c>
      <x:c r="E12" s="82" t="str">
        <x:v>등락</x:v>
      </x:c>
      <x:c r="F12" s="82" t="str">
        <x:v>등락률</x:v>
      </x:c>
      <x:c r="G12" s="82" t="str">
        <x:v>상태</x:v>
      </x:c>
      <x:c r="H12" s="2"/>
      <x:c r="I12" s="2"/>
      <x:c r="J12" s="2"/>
      <x:c r="K12" s="2"/>
      <x:c r="L12" s="2"/>
      <x:c r="M12" s="2"/>
      <x:c r="N12" s="2"/>
    </x:row>
    <x:row r="13" ht="15" hidden="0" customHeight="1">
      <x:c r="A13" s="83" t="str">
        <x:f>'원본데이터'!A2</x:f>
        <x:v>KOSPI</x:v>
      </x:c>
      <x:c r="B13" s="83" t="str">
        <x:f>'원본데이터'!B2</x:f>
        <x:v>지수</x:v>
      </x:c>
      <x:c r="C13" s="84" t="n">
        <x:f>'원본데이터'!C2</x:f>
        <x:v>6871.01</x:v>
      </x:c>
      <x:c r="D13" s="84" t="n">
        <x:f>'원본데이터'!D2</x:f>
        <x:v>6715.24</x:v>
      </x:c>
      <x:c r="E13" s="84" t="n">
        <x:f>'원본데이터'!E2</x:f>
        <x:v>155.77000000000044</x:v>
      </x:c>
      <x:c r="F13" s="85" t="n">
        <x:f>'원본데이터'!F2</x:f>
        <x:v>0.023196490371155825</x:v>
      </x:c>
      <x:c r="G13" s="86" t="str">
        <x:f>'원본데이터'!J2</x:f>
        <x:v>정상</x:v>
      </x:c>
      <x:c r="H13" s="2"/>
      <x:c r="I13" s="2"/>
      <x:c r="J13" s="2"/>
      <x:c r="K13" s="2"/>
      <x:c r="L13" s="2"/>
      <x:c r="M13" s="2"/>
      <x:c r="N13" s="2"/>
    </x:row>
    <x:row r="14" ht="15" hidden="0" customHeight="1">
      <x:c r="A14" s="83" t="str">
        <x:f>'원본데이터'!A3</x:f>
        <x:v>KOSDAQ</x:v>
      </x:c>
      <x:c r="B14" s="83" t="str">
        <x:f>'원본데이터'!B3</x:f>
        <x:v>지수</x:v>
      </x:c>
      <x:c r="C14" s="84" t="n">
        <x:f>'원본데이터'!C3</x:f>
        <x:v>830.43</x:v>
      </x:c>
      <x:c r="D14" s="84" t="n">
        <x:f>'원본데이터'!D3</x:f>
        <x:v>822.21</x:v>
      </x:c>
      <x:c r="E14" s="84" t="n">
        <x:f>'원본데이터'!E3</x:f>
        <x:v>8.219999999999914</x:v>
      </x:c>
      <x:c r="F14" s="85" t="n">
        <x:f>'원본데이터'!F3</x:f>
        <x:v>0.009997445907979607</x:v>
      </x:c>
      <x:c r="G14" s="86" t="str">
        <x:f>'원본데이터'!J3</x:f>
        <x:v>정상</x:v>
      </x:c>
      <x:c r="H14" s="2"/>
      <x:c r="I14" s="2"/>
      <x:c r="J14" s="2"/>
      <x:c r="K14" s="2"/>
      <x:c r="L14" s="2"/>
      <x:c r="M14" s="2"/>
      <x:c r="N14" s="2"/>
    </x:row>
    <x:row r="15" ht="15" hidden="0" customHeight="1">
      <x:c r="A15" s="83" t="str">
        <x:f>'원본데이터'!A4</x:f>
        <x:v>삼성전자</x:v>
      </x:c>
      <x:c r="B15" s="83" t="str">
        <x:f>'원본데이터'!B4</x:f>
        <x:v>주식</x:v>
      </x:c>
      <x:c r="C15" s="84" t="n">
        <x:f>'원본데이터'!C4</x:f>
        <x:v>260000</x:v>
      </x:c>
      <x:c r="D15" s="84" t="n">
        <x:f>'원본데이터'!D4</x:f>
        <x:v>252500</x:v>
      </x:c>
      <x:c r="E15" s="84" t="n">
        <x:f>'원본데이터'!E4</x:f>
        <x:v>7500</x:v>
      </x:c>
      <x:c r="F15" s="85" t="n">
        <x:f>'원본데이터'!F4</x:f>
        <x:v>0.0297029702970297</x:v>
      </x:c>
      <x:c r="G15" s="86" t="str">
        <x:f>'원본데이터'!J4</x:f>
        <x:v>정상</x:v>
      </x:c>
      <x:c r="H15" s="2"/>
      <x:c r="I15" s="2"/>
      <x:c r="J15" s="2"/>
      <x:c r="K15" s="2"/>
      <x:c r="L15" s="2"/>
      <x:c r="M15" s="2"/>
      <x:c r="N15" s="2"/>
    </x:row>
    <x:row r="16" ht="15" hidden="0" customHeight="1">
      <x:c r="A16" s="83" t="str">
        <x:f>'원본데이터'!A5</x:f>
        <x:v>SK하이닉스</x:v>
      </x:c>
      <x:c r="B16" s="83" t="str">
        <x:f>'원본데이터'!B5</x:f>
        <x:v>주식</x:v>
      </x:c>
      <x:c r="C16" s="84" t="n">
        <x:f>'원본데이터'!C5</x:f>
        <x:v>1826000</x:v>
      </x:c>
      <x:c r="D16" s="84" t="n">
        <x:f>'원본데이터'!D5</x:f>
        <x:v>1745000</x:v>
      </x:c>
      <x:c r="E16" s="84" t="n">
        <x:f>'원본데이터'!E5</x:f>
        <x:v>81000</x:v>
      </x:c>
      <x:c r="F16" s="85" t="n">
        <x:f>'원본데이터'!F5</x:f>
        <x:v>0.046418338108882524</x:v>
      </x:c>
      <x:c r="G16" s="86" t="str">
        <x:f>'원본데이터'!J5</x:f>
        <x:v>정상</x:v>
      </x:c>
      <x:c r="H16" s="2"/>
      <x:c r="I16" s="2"/>
      <x:c r="J16" s="2"/>
      <x:c r="K16" s="2"/>
      <x:c r="L16" s="2"/>
      <x:c r="M16" s="2"/>
      <x:c r="N16" s="2"/>
    </x:row>
    <x:row r="17" ht="15" hidden="0" customHeight="1">
      <x:c r="A17" s="83" t="str">
        <x:f>'원본데이터'!A6</x:f>
        <x:v>LG전자</x:v>
      </x:c>
      <x:c r="B17" s="83" t="str">
        <x:f>'원본데이터'!B6</x:f>
        <x:v>주식</x:v>
      </x:c>
      <x:c r="C17" s="84" t="n">
        <x:f>'원본데이터'!C6</x:f>
        <x:v>199400</x:v>
      </x:c>
      <x:c r="D17" s="84" t="n">
        <x:f>'원본데이터'!D6</x:f>
        <x:v>197900</x:v>
      </x:c>
      <x:c r="E17" s="84" t="n">
        <x:f>'원본데이터'!E6</x:f>
        <x:v>1500</x:v>
      </x:c>
      <x:c r="F17" s="85" t="n">
        <x:f>'원본데이터'!F6</x:f>
        <x:v>0.007579585649317837</x:v>
      </x:c>
      <x:c r="G17" s="86" t="str">
        <x:f>'원본데이터'!J6</x:f>
        <x:v>정상</x:v>
      </x:c>
      <x:c r="H17" s="2"/>
      <x:c r="I17" s="2"/>
      <x:c r="J17" s="2"/>
      <x:c r="K17" s="2"/>
      <x:c r="L17" s="2"/>
      <x:c r="M17" s="2"/>
      <x:c r="N17" s="2"/>
    </x:row>
    <x:row r="18" ht="15" hidden="0" customHeight="1">
      <x:c r="A18" s="83" t="str">
        <x:f>'원본데이터'!A7</x:f>
        <x:v>현대차</x:v>
      </x:c>
      <x:c r="B18" s="83" t="str">
        <x:f>'원본데이터'!B7</x:f>
        <x:v>주식</x:v>
      </x:c>
      <x:c r="C18" s="84" t="n">
        <x:f>'원본데이터'!C7</x:f>
        <x:v>368500</x:v>
      </x:c>
      <x:c r="D18" s="84" t="n">
        <x:f>'원본데이터'!D7</x:f>
        <x:v>363000</x:v>
      </x:c>
      <x:c r="E18" s="84" t="n">
        <x:f>'원본데이터'!E7</x:f>
        <x:v>5500</x:v>
      </x:c>
      <x:c r="F18" s="85" t="n">
        <x:f>'원본데이터'!F7</x:f>
        <x:v>0.015151515151515152</x:v>
      </x:c>
      <x:c r="G18" s="86" t="str">
        <x:f>'원본데이터'!J7</x:f>
        <x:v>정상</x:v>
      </x:c>
      <x:c r="H18" s="2"/>
      <x:c r="I18" s="2"/>
      <x:c r="J18" s="2"/>
      <x:c r="K18" s="2"/>
      <x:c r="L18" s="2"/>
      <x:c r="M18" s="2"/>
      <x:c r="N18" s="2"/>
    </x:row>
    <x:row r="19" ht="15" hidden="0" customHeight="1">
      <x:c r="A19" s="83" t="str">
        <x:f>'원본데이터'!A8</x:f>
        <x:v>TIGER 200IT레버리지</x:v>
      </x:c>
      <x:c r="B19" s="83" t="str">
        <x:f>'원본데이터'!B8</x:f>
        <x:v>ETF</x:v>
      </x:c>
      <x:c r="C19" s="84" t="n">
        <x:f>'원본데이터'!C8</x:f>
        <x:v>323615</x:v>
      </x:c>
      <x:c r="D19" s="84" t="n">
        <x:f>'원본데이터'!D8</x:f>
        <x:v>302880</x:v>
      </x:c>
      <x:c r="E19" s="84" t="n">
        <x:f>'원본데이터'!E8</x:f>
        <x:v>20735</x:v>
      </x:c>
      <x:c r="F19" s="85" t="n">
        <x:f>'원본데이터'!F8</x:f>
        <x:v>0.0684594558901215</x:v>
      </x:c>
      <x:c r="G19" s="86" t="str">
        <x:f>'원본데이터'!J8</x:f>
        <x:v>정상</x:v>
      </x:c>
      <x:c r="H19" s="2"/>
      <x:c r="I19" s="2"/>
      <x:c r="J19" s="2"/>
      <x:c r="K19" s="2"/>
      <x:c r="L19" s="2"/>
      <x:c r="M19" s="2"/>
      <x:c r="N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15" hidden="0" customHeight="1">
      <x:c r="A21" s="6" t="str">
        <x:v>뉴스와 입력 흐름</x:v>
      </x:c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</x:row>
    <x:row r="22" ht="15" hidden="0" customHeight="1">
      <x:c r="A22" s="82" t="str">
        <x:v>시각</x:v>
      </x:c>
      <x:c r="B22" s="82" t="str">
        <x:v>분류</x:v>
      </x:c>
      <x:c r="C22" s="82" t="str">
        <x:v>헤드라인</x:v>
      </x:c>
      <x:c r="D22" s="82" t="str">
        <x:v>확인</x:v>
      </x:c>
      <x:c r="E22" s="89" t="str">
        <x:v>입력 흐름
1. 노란 셀에서 기준일과 시장을 입력합니다.
2. Enter 또는 Tab으로 다음 입력으로 이동합니다.
3. 흰색 결과 셀은 원본데이터 계산식에서 연결됩니다.
4. 상승/하락 색은 한국 시장 방향성에만 사용합니다.</x:v>
      </x:c>
      <x:c r="F22" s="90"/>
      <x:c r="G22" s="90"/>
      <x:c r="H22" s="90"/>
      <x:c r="I22" s="90"/>
      <x:c r="J22" s="90"/>
      <x:c r="K22" s="90"/>
      <x:c r="L22" s="90"/>
      <x:c r="M22" s="90"/>
      <x:c r="N22" s="91"/>
    </x:row>
    <x:row r="23" ht="15" hidden="0" customHeight="1">
      <x:c r="A23" s="86" t="str">
        <x:v>09:29</x:v>
      </x:c>
      <x:c r="B23" s="86" t="str">
        <x:v>시장</x:v>
      </x:c>
      <x:c r="C23" s="86" t="str">
        <x:v>코스피, 장 초반 2%대 반등</x:v>
      </x:c>
      <x:c r="D23" s="86" t="str">
        <x:v>읽음</x:v>
      </x:c>
      <x:c r="E23" s="92"/>
      <x:c r="F23" s="88"/>
      <x:c r="G23" s="88"/>
      <x:c r="H23" s="88"/>
      <x:c r="I23" s="88"/>
      <x:c r="J23" s="88"/>
      <x:c r="K23" s="88"/>
      <x:c r="L23" s="88"/>
      <x:c r="M23" s="88"/>
      <x:c r="N23" s="93"/>
    </x:row>
    <x:row r="24" ht="15" hidden="0" customHeight="1">
      <x:c r="A24" s="86" t="str">
        <x:v>09:26</x:v>
      </x:c>
      <x:c r="B24" s="86" t="str">
        <x:v>반도체</x:v>
      </x:c>
      <x:c r="C24" s="86" t="str">
        <x:v>삼성전자와 SK하이닉스 동반 강세</x:v>
      </x:c>
      <x:c r="D24" s="86" t="str">
        <x:v>읽음</x:v>
      </x:c>
      <x:c r="E24" s="92"/>
      <x:c r="F24" s="88"/>
      <x:c r="G24" s="88"/>
      <x:c r="H24" s="88"/>
      <x:c r="I24" s="88"/>
      <x:c r="J24" s="88"/>
      <x:c r="K24" s="88"/>
      <x:c r="L24" s="88"/>
      <x:c r="M24" s="88"/>
      <x:c r="N24" s="93"/>
    </x:row>
    <x:row r="25" ht="15" hidden="0" customHeight="1">
      <x:c r="A25" s="86" t="str">
        <x:v>09:24</x:v>
      </x:c>
      <x:c r="B25" s="86" t="str">
        <x:v>외국인</x:v>
      </x:c>
      <x:c r="C25" s="86" t="str">
        <x:v>국내 주식 외국인 순매매 추이</x:v>
      </x:c>
      <x:c r="D25" s="86" t="str">
        <x:v>확인</x:v>
      </x:c>
      <x:c r="E25" s="92"/>
      <x:c r="F25" s="88"/>
      <x:c r="G25" s="88"/>
      <x:c r="H25" s="88"/>
      <x:c r="I25" s="88"/>
      <x:c r="J25" s="88"/>
      <x:c r="K25" s="88"/>
      <x:c r="L25" s="88"/>
      <x:c r="M25" s="88"/>
      <x:c r="N25" s="93"/>
    </x:row>
    <x:row r="26" ht="15" hidden="0" customHeight="1">
      <x:c r="A26" s="86" t="str">
        <x:v>09:17</x:v>
      </x:c>
      <x:c r="B26" s="86" t="str">
        <x:v>ETF</x:v>
      </x:c>
      <x:c r="C26" s="86" t="str">
        <x:v>커버드콜 ETF 수급 점검</x:v>
      </x:c>
      <x:c r="D26" s="86" t="str">
        <x:v>확인</x:v>
      </x:c>
      <x:c r="E26" s="92"/>
      <x:c r="F26" s="88"/>
      <x:c r="G26" s="88"/>
      <x:c r="H26" s="88"/>
      <x:c r="I26" s="88"/>
      <x:c r="J26" s="88"/>
      <x:c r="K26" s="88"/>
      <x:c r="L26" s="88"/>
      <x:c r="M26" s="88"/>
      <x:c r="N26" s="93"/>
    </x:row>
    <x:row r="27" ht="15" hidden="0" customHeight="1">
      <x:c r="A27" s="86" t="str">
        <x:v>09:02</x:v>
      </x:c>
      <x:c r="B27" s="86" t="str">
        <x:v>시장</x:v>
      </x:c>
      <x:c r="C27" s="86" t="str">
        <x:v>코스피 6800선 회복 출발</x:v>
      </x:c>
      <x:c r="D27" s="86" t="str">
        <x:v>읽음</x:v>
      </x:c>
      <x:c r="E27" s="94"/>
      <x:c r="F27" s="95"/>
      <x:c r="G27" s="95"/>
      <x:c r="H27" s="95"/>
      <x:c r="I27" s="95"/>
      <x:c r="J27" s="95"/>
      <x:c r="K27" s="95"/>
      <x:c r="L27" s="95"/>
      <x:c r="M27" s="95"/>
      <x:c r="N27" s="96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15" hidden="0" customHeight="1">
      <x:c r="A29" s="97" t="str">
        <x:v>상태: 정상 · 데이터 기준일 2026-09-18 · 원본데이터 시트의 파란 글자 값을 수정하면 대시보드 계산 결과가 함께 변경됩니다.</x:v>
      </x:c>
      <x:c r="B29" s="97"/>
      <x:c r="C29" s="97"/>
      <x:c r="D29" s="97"/>
      <x:c r="E29" s="97"/>
      <x:c r="F29" s="97"/>
      <x:c r="G29" s="97"/>
      <x:c r="H29" s="97"/>
      <x:c r="I29" s="97"/>
      <x:c r="J29" s="97"/>
      <x:c r="K29" s="97"/>
      <x:c r="L29" s="97"/>
      <x:c r="M29" s="97"/>
      <x:c r="N29" s="97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</x:sheetData>
  <x:mergeCells>
    <x:mergeCell ref="A1:N2"/>
    <x:mergeCell ref="A3:N3"/>
    <x:mergeCell ref="A7:C7"/>
    <x:mergeCell ref="A8:C9"/>
    <x:mergeCell ref="D7:F7"/>
    <x:mergeCell ref="D8:F9"/>
    <x:mergeCell ref="G7:I7"/>
    <x:mergeCell ref="G8:I9"/>
    <x:mergeCell ref="J7:L7"/>
    <x:mergeCell ref="J8:L9"/>
    <x:mergeCell ref="A11:G11"/>
    <x:mergeCell ref="I11:N11"/>
    <x:mergeCell ref="A21:N21"/>
    <x:mergeCell ref="E22:N27"/>
    <x:mergeCell ref="A29:N29"/>
  </x:mergeCells>
  <x:conditionalFormatting sqref="G8:I9">
    <x:cfRule type="cellIs" dxfId="4" priority="1" operator="greaterThan">
      <x:formula>0</x:formula>
    </x:cfRule>
    <x:cfRule type="cellIs" dxfId="5" priority="2" operator="lessThan">
      <x:formula>0</x:formula>
    </x:cfRule>
  </x:conditionalFormatting>
  <x:conditionalFormatting sqref="E13:F19">
    <x:cfRule type="cellIs" dxfId="6" priority="3" operator="greaterThan">
      <x:formula>0</x:formula>
    </x:cfRule>
    <x:cfRule type="cellIs" dxfId="7" priority="4" operator="lessThan">
      <x:formula>0</x:formula>
    </x:cfRule>
  </x:conditionalFormatting>
  <x:dataValidations count="1">
    <x:dataValidation type="list" sqref="D5">
      <x:formula1>설정!$A$3:$A$4</x:formula1>
    </x:dataValidation>
  </x:dataValidations>
  <x:pageMargins left="0.7" right="0.7" top="0.75" bottom="0.75" header="0.3" footer="0.3"/>
  <x:drawing xmlns:r="http://schemas.openxmlformats.org/officeDocument/2006/relationships" r:id="Rda16fc1d02f84879"/>
  <x:tableParts count="1">
    <x:tablePart xmlns:r="http://schemas.openxmlformats.org/officeDocument/2006/relationships" r:id="R3461af1276834872"/>
  </x:tableParts>
</x:worksheet>
</file>

<file path=xl/worksheets/sheet2.xml><?xml version="1.0" encoding="utf-8"?>
<x:worksheet xmlns:x="http://schemas.openxmlformats.org/spreadsheetml/2006/main">
  <x:sheetPr>
    <x:tabColor rgb="FF3567B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6.75" hidden="0" customWidth="1"/>
    <x:col min="3" max="3" width="10.25" hidden="0" customWidth="1"/>
    <x:col min="4" max="4" width="10.75" hidden="0" customWidth="1"/>
    <x:col min="5" max="5" width="8" hidden="0" customWidth="1"/>
    <x:col min="6" max="6" width="8.5" hidden="0" customWidth="1"/>
    <x:col min="7" max="7" width="8.5" hidden="0" customWidth="1"/>
    <x:col min="8" max="8" width="17.5" hidden="0" customWidth="1"/>
    <x:col min="9" max="9" width="17.5" hidden="0" customWidth="1"/>
    <x:col min="10" max="10" width="6.75" hidden="0" customWidth="1"/>
    <x:col min="11" max="11" width="9.130000114440918" hidden="0" customWidth="1"/>
    <x:col min="12" max="12" width="7" hidden="0" customWidth="1"/>
    <x:col min="13" max="13" width="7" hidden="0" customWidth="1"/>
  </x:cols>
  <x:sheetData>
    <x:row r="1">
      <x:c r="A1" s="13" t="str">
        <x:v>종목/지수</x:v>
      </x:c>
      <x:c r="B1" s="13" t="str">
        <x:v>유형</x:v>
      </x:c>
      <x:c r="C1" s="13" t="str">
        <x:v>현재가</x:v>
      </x:c>
      <x:c r="D1" s="13" t="str">
        <x:v>전일 종가</x:v>
      </x:c>
      <x:c r="E1" s="13" t="str">
        <x:v>등락</x:v>
      </x:c>
      <x:c r="F1" s="13" t="str">
        <x:v>등락률</x:v>
      </x:c>
      <x:c r="G1" s="13" t="str">
        <x:v>거래량</x:v>
      </x:c>
      <x:c r="H1" s="13" t="str">
        <x:v>외인 순매수(억원)</x:v>
      </x:c>
      <x:c r="I1" s="13" t="str">
        <x:v>기관 순매수(억원)</x:v>
      </x:c>
      <x:c r="J1" s="13" t="str">
        <x:v>상태</x:v>
      </x:c>
      <x:c r="K1" s="16" t="str">
        <x:v>기준일</x:v>
      </x:c>
      <x:c r="L1" s="16" t="str">
        <x:v>KOSPI</x:v>
      </x:c>
      <x:c r="M1" s="16" t="str">
        <x:v>KOSDAQ</x:v>
      </x:c>
      <x:c r="N1" s="2"/>
    </x:row>
    <x:row r="2">
      <x:c r="A2" s="25" t="str">
        <x:v>KOSPI</x:v>
      </x:c>
      <x:c r="B2" s="25" t="str">
        <x:v>지수</x:v>
      </x:c>
      <x:c r="C2" s="26" t="n">
        <x:v>6871.01</x:v>
      </x:c>
      <x:c r="D2" s="26" t="n">
        <x:v>6715.24</x:v>
      </x:c>
      <x:c r="E2" s="27" t="n">
        <x:f>C2-D2</x:f>
        <x:v>155.77000000000044</x:v>
      </x:c>
      <x:c r="F2" s="28" t="n">
        <x:f>IF(D2=0,"n.a.",E2/D2)</x:f>
        <x:v>0.023196490371155825</x:v>
      </x:c>
      <x:c r="G2" s="29" t="n">
        <x:v>0</x:v>
      </x:c>
      <x:c r="H2" s="29" t="n">
        <x:v>695</x:v>
      </x:c>
      <x:c r="I2" s="29" t="n">
        <x:v>2422</x:v>
      </x:c>
      <x:c r="J2" s="25" t="str">
        <x:v>정상</x:v>
      </x:c>
      <x:c r="K2" s="15" t="n">
        <x:v>46279</x:v>
      </x:c>
      <x:c r="L2" s="27" t="n">
        <x:v>6625.81</x:v>
      </x:c>
      <x:c r="M2" s="27" t="n">
        <x:v>815.31</x:v>
      </x:c>
      <x:c r="N2" s="2"/>
    </x:row>
    <x:row r="3">
      <x:c r="A3" s="25" t="str">
        <x:v>KOSDAQ</x:v>
      </x:c>
      <x:c r="B3" s="25" t="str">
        <x:v>지수</x:v>
      </x:c>
      <x:c r="C3" s="26" t="n">
        <x:v>830.43</x:v>
      </x:c>
      <x:c r="D3" s="26" t="n">
        <x:v>822.21</x:v>
      </x:c>
      <x:c r="E3" s="27" t="n">
        <x:f>C3-D3</x:f>
        <x:v>8.219999999999914</x:v>
      </x:c>
      <x:c r="F3" s="28" t="n">
        <x:f>IF(D3=0,"n.a.",E3/D3)</x:f>
        <x:v>0.009997445907979607</x:v>
      </x:c>
      <x:c r="G3" s="29" t="n">
        <x:v>0</x:v>
      </x:c>
      <x:c r="H3" s="29" t="n">
        <x:v>134</x:v>
      </x:c>
      <x:c r="I3" s="29" t="n">
        <x:v>10</x:v>
      </x:c>
      <x:c r="J3" s="25" t="str">
        <x:v>정상</x:v>
      </x:c>
      <x:c r="K3" s="15" t="n">
        <x:v>46280</x:v>
      </x:c>
      <x:c r="L3" s="27" t="n">
        <x:v>6680.32</x:v>
      </x:c>
      <x:c r="M3" s="27" t="n">
        <x:v>820.1</x:v>
      </x:c>
      <x:c r="N3" s="2"/>
    </x:row>
    <x:row r="4">
      <x:c r="A4" s="25" t="str">
        <x:v>삼성전자</x:v>
      </x:c>
      <x:c r="B4" s="25" t="str">
        <x:v>주식</x:v>
      </x:c>
      <x:c r="C4" s="26" t="n">
        <x:v>260000</x:v>
      </x:c>
      <x:c r="D4" s="26" t="n">
        <x:v>252500</x:v>
      </x:c>
      <x:c r="E4" s="27" t="n">
        <x:f>C4-D4</x:f>
        <x:v>7500</x:v>
      </x:c>
      <x:c r="F4" s="28" t="n">
        <x:f>IF(D4=0,"n.a.",E4/D4)</x:f>
        <x:v>0.0297029702970297</x:v>
      </x:c>
      <x:c r="G4" s="29" t="n">
        <x:v>2180000</x:v>
      </x:c>
      <x:c r="H4" s="29" t="n">
        <x:v>0</x:v>
      </x:c>
      <x:c r="I4" s="29" t="n">
        <x:v>0</x:v>
      </x:c>
      <x:c r="J4" s="25" t="str">
        <x:v>정상</x:v>
      </x:c>
      <x:c r="K4" s="15" t="n">
        <x:v>46281</x:v>
      </x:c>
      <x:c r="L4" s="27" t="n">
        <x:v>6702.42</x:v>
      </x:c>
      <x:c r="M4" s="27" t="n">
        <x:v>824.55</x:v>
      </x:c>
      <x:c r="N4" s="2"/>
    </x:row>
    <x:row r="5">
      <x:c r="A5" s="25" t="str">
        <x:v>SK하이닉스</x:v>
      </x:c>
      <x:c r="B5" s="25" t="str">
        <x:v>주식</x:v>
      </x:c>
      <x:c r="C5" s="26" t="n">
        <x:v>1826000</x:v>
      </x:c>
      <x:c r="D5" s="26" t="n">
        <x:v>1745000</x:v>
      </x:c>
      <x:c r="E5" s="27" t="n">
        <x:f>C5-D5</x:f>
        <x:v>81000</x:v>
      </x:c>
      <x:c r="F5" s="28" t="n">
        <x:f>IF(D5=0,"n.a.",E5/D5)</x:f>
        <x:v>0.046418338108882524</x:v>
      </x:c>
      <x:c r="G5" s="29" t="n">
        <x:v>500000</x:v>
      </x:c>
      <x:c r="H5" s="29" t="n">
        <x:v>0</x:v>
      </x:c>
      <x:c r="I5" s="29" t="n">
        <x:v>0</x:v>
      </x:c>
      <x:c r="J5" s="25" t="str">
        <x:v>정상</x:v>
      </x:c>
      <x:c r="K5" s="15" t="n">
        <x:v>46282</x:v>
      </x:c>
      <x:c r="L5" s="27" t="n">
        <x:v>6715.24</x:v>
      </x:c>
      <x:c r="M5" s="27" t="n">
        <x:v>822.21</x:v>
      </x:c>
      <x:c r="N5" s="2"/>
    </x:row>
    <x:row r="6">
      <x:c r="A6" s="25" t="str">
        <x:v>LG전자</x:v>
      </x:c>
      <x:c r="B6" s="25" t="str">
        <x:v>주식</x:v>
      </x:c>
      <x:c r="C6" s="26" t="n">
        <x:v>199400</x:v>
      </x:c>
      <x:c r="D6" s="26" t="n">
        <x:v>197900</x:v>
      </x:c>
      <x:c r="E6" s="27" t="n">
        <x:f>C6-D6</x:f>
        <x:v>1500</x:v>
      </x:c>
      <x:c r="F6" s="28" t="n">
        <x:f>IF(D6=0,"n.a.",E6/D6)</x:f>
        <x:v>0.007579585649317837</x:v>
      </x:c>
      <x:c r="G6" s="29" t="n">
        <x:v>61000</x:v>
      </x:c>
      <x:c r="H6" s="29" t="n">
        <x:v>0</x:v>
      </x:c>
      <x:c r="I6" s="29" t="n">
        <x:v>0</x:v>
      </x:c>
      <x:c r="J6" s="25" t="str">
        <x:v>정상</x:v>
      </x:c>
      <x:c r="K6" s="15" t="n">
        <x:v>46283</x:v>
      </x:c>
      <x:c r="L6" s="27" t="n">
        <x:v>6871.01</x:v>
      </x:c>
      <x:c r="M6" s="27" t="n">
        <x:v>830.43</x:v>
      </x:c>
      <x:c r="N6" s="2"/>
    </x:row>
    <x:row r="7">
      <x:c r="A7" s="25" t="str">
        <x:v>현대차</x:v>
      </x:c>
      <x:c r="B7" s="25" t="str">
        <x:v>주식</x:v>
      </x:c>
      <x:c r="C7" s="26" t="n">
        <x:v>368500</x:v>
      </x:c>
      <x:c r="D7" s="26" t="n">
        <x:v>363000</x:v>
      </x:c>
      <x:c r="E7" s="27" t="n">
        <x:f>C7-D7</x:f>
        <x:v>5500</x:v>
      </x:c>
      <x:c r="F7" s="28" t="n">
        <x:f>IF(D7=0,"n.a.",E7/D7)</x:f>
        <x:v>0.015151515151515152</x:v>
      </x:c>
      <x:c r="G7" s="29" t="n">
        <x:v>55000</x:v>
      </x:c>
      <x:c r="H7" s="29" t="n">
        <x:v>0</x:v>
      </x:c>
      <x:c r="I7" s="29" t="n">
        <x:v>0</x:v>
      </x:c>
      <x:c r="J7" s="25" t="str">
        <x:v>정상</x:v>
      </x:c>
      <x:c r="K7" s="2" t="str"/>
      <x:c r="L7" s="2" t="str"/>
      <x:c r="M7" s="2" t="str"/>
      <x:c r="N7" s="2"/>
    </x:row>
    <x:row r="8">
      <x:c r="A8" s="25" t="str">
        <x:v>TIGER 200IT레버리지</x:v>
      </x:c>
      <x:c r="B8" s="25" t="str">
        <x:v>ETF</x:v>
      </x:c>
      <x:c r="C8" s="26" t="n">
        <x:v>323615</x:v>
      </x:c>
      <x:c r="D8" s="26" t="n">
        <x:v>302880</x:v>
      </x:c>
      <x:c r="E8" s="27" t="n">
        <x:f>C8-D8</x:f>
        <x:v>20735</x:v>
      </x:c>
      <x:c r="F8" s="28" t="n">
        <x:f>IF(D8=0,"n.a.",E8/D8)</x:f>
        <x:v>0.0684594558901215</x:v>
      </x:c>
      <x:c r="G8" s="29" t="n">
        <x:v>24000</x:v>
      </x:c>
      <x:c r="H8" s="29" t="n">
        <x:v>0</x:v>
      </x:c>
      <x:c r="I8" s="29" t="n">
        <x:v>0</x:v>
      </x:c>
      <x:c r="J8" s="25" t="str">
        <x:v>정상</x:v>
      </x:c>
      <x:c r="K8" s="2"/>
      <x:c r="L8" s="2"/>
      <x:c r="M8" s="2"/>
      <x:c r="N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</x:sheetData>
  <x:conditionalFormatting sqref="E2:E8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F2:F8">
    <x:cfRule type="cellIs" dxfId="2" priority="3" operator="greaterThan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a7f86a9095545b6"/>
  </x:tableParts>
</x:worksheet>
</file>

<file path=xl/worksheets/sheet3.xml><?xml version="1.0" encoding="utf-8"?>
<x:worksheet xmlns:x="http://schemas.openxmlformats.org/spreadsheetml/2006/main">
  <x:sheetPr>
    <x:tabColor rgb="FF185C37"/>
  </x:sheetPr>
  <x:sheetViews>
    <x:sheetView showGridLines="0" workbookViewId="0"/>
  </x:sheetViews>
  <x:sheetFormatPr defaultRowHeight="15"/>
  <x:cols>
    <x:col min="1" max="1" width="9.630000114440918" hidden="0" customWidth="1"/>
    <x:col min="2" max="2" width="9.130000114440918" hidden="0" customWidth="1"/>
    <x:col min="3" max="3" width="24.75" hidden="0" customWidth="1"/>
    <x:col min="4" max="4" width="8.25" hidden="0" customWidth="1"/>
  </x:cols>
  <x:sheetData>
    <x:row r="1" ht="15" hidden="0" customHeight="1">
      <x:c r="A1" s="13" t="str">
        <x:v>설정</x:v>
      </x:c>
      <x:c r="B1" s="13" t="str">
        <x:v>값</x:v>
      </x:c>
      <x:c r="C1" s="13" t="str">
        <x:v>설명</x:v>
      </x:c>
      <x:c r="D1" s="13" t="str">
        <x:v>입력 방식</x:v>
      </x:c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15" hidden="0" customHeight="1">
      <x:c r="A2" s="14" t="str">
        <x:v>시장 선택</x:v>
      </x:c>
      <x:c r="B2" s="14" t="str">
        <x:v>KOSPI</x:v>
      </x:c>
      <x:c r="C2" s="14" t="str">
        <x:v>대시보드 KPI와 선택 상태 기준</x:v>
      </x:c>
      <x:c r="D2" s="14" t="str">
        <x:v>목록 선택</x:v>
      </x:c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5" hidden="0" customHeight="1">
      <x:c r="A3" s="14" t="str">
        <x:v>KOSPI</x:v>
      </x:c>
      <x:c r="B3" s="14" t="str">
        <x:v>KOSPI</x:v>
      </x:c>
      <x:c r="C3" s="14" t="str">
        <x:v>국내 대표 지수</x:v>
      </x:c>
      <x:c r="D3" s="14" t="str">
        <x:v>목록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15" hidden="0" customHeight="1">
      <x:c r="A4" s="14" t="str">
        <x:v>KOSDAQ</x:v>
      </x:c>
      <x:c r="B4" s="14" t="str">
        <x:v>KOSDAQ</x:v>
      </x:c>
      <x:c r="C4" s="14" t="str">
        <x:v>코스닥 지수</x:v>
      </x:c>
      <x:c r="D4" s="14" t="str">
        <x:v>목록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15" hidden="0" customHeight="1">
      <x:c r="A5" s="14" t="str">
        <x:v>기준일</x:v>
      </x:c>
      <x:c r="B5" s="15" t="n">
        <x:v>46283</x:v>
      </x:c>
      <x:c r="C5" s="14" t="str">
        <x:v>표시용 기준일</x:v>
      </x:c>
      <x:c r="D5" s="14" t="str">
        <x:v>날짜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15" hidden="0" customHeight="1">
      <x:c r="A6" s="14" t="str">
        <x:v>갱신 주기</x:v>
      </x:c>
      <x:c r="B6" s="14" t="str">
        <x:v>수동</x:v>
      </x:c>
      <x:c r="C6" s="14" t="str">
        <x:v>새 데이터 반영 방식</x:v>
      </x:c>
      <x:c r="D6" s="14" t="str">
        <x:v>상태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15" hidden="0" customHeight="1">
      <x:c r="A7" s="14" t="str"/>
      <x:c r="B7" s="14" t="str"/>
      <x:c r="C7" s="14" t="str"/>
      <x:c r="D7" s="14" t="str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15" hidden="0" customHeight="1">
      <x:c r="A8" s="16" t="str">
        <x:v>토큰</x:v>
      </x:c>
      <x:c r="B8" s="16" t="str">
        <x:v>색상</x:v>
      </x:c>
      <x:c r="C8" s="16" t="str">
        <x:v>사용처</x:v>
      </x:c>
      <x:c r="D8" s="16" t="str">
        <x:v>상태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15" hidden="0" customHeight="1">
      <x:c r="A9" s="14" t="str">
        <x:v>Brand green</x:v>
      </x:c>
      <x:c r="B9" s="13" t="str">
        <x:v>#107C41</x:v>
      </x:c>
      <x:c r="C9" s="14" t="str">
        <x:v>제목 밴드와 주요 액션</x:v>
      </x:c>
      <x:c r="D9" s="14" t="str">
        <x:v>브랜드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15" hidden="0" customHeight="1">
      <x:c r="A10" s="14" t="str">
        <x:v>Up</x:v>
      </x:c>
      <x:c r="B10" s="17" t="str">
        <x:v>#A34D4D</x:v>
      </x:c>
      <x:c r="C10" s="14" t="str">
        <x:v>한국 시장 상승</x:v>
      </x:c>
      <x:c r="D10" s="14" t="str">
        <x:v>의미색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15" hidden="0" customHeight="1">
      <x:c r="A11" s="14" t="str">
        <x:v>Down</x:v>
      </x:c>
      <x:c r="B11" s="18" t="str">
        <x:v>#3F6F9F</x:v>
      </x:c>
      <x:c r="C11" s="14" t="str">
        <x:v>한국 시장 하락</x:v>
      </x:c>
      <x:c r="D11" s="14" t="str">
        <x:v>의미색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15" hidden="0" customHeight="1">
      <x:c r="A12" s="14" t="str">
        <x:v>Grid</x:v>
      </x:c>
      <x:c r="B12" s="19" t="str">
        <x:v>#DCDEDD</x:v>
      </x:c>
      <x:c r="C12" s="14" t="str">
        <x:v>얇은 구조 선</x:v>
      </x:c>
      <x:c r="D12" s="14" t="str">
        <x:v>구조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08A28"/>
  </x:sheetPr>
  <x:sheetViews>
    <x:sheetView showGridLines="0" workbookViewId="0"/>
  </x:sheetViews>
  <x:sheetFormatPr defaultRowHeight="15"/>
  <x:cols>
    <x:col min="1" max="1" width="19.3799991607666" hidden="0" customWidth="1"/>
    <x:col min="2" max="2" width="14.380000114440918" hidden="0" customWidth="1"/>
    <x:col min="3" max="3" width="23.3799991607666" hidden="0" customWidth="1"/>
    <x:col min="4" max="4" width="23.3799991607666" hidden="0" customWidth="1"/>
    <x:col min="6" max="6" width="8.25" hidden="0" customWidth="1"/>
    <x:col min="7" max="7" width="7.25" hidden="0" customWidth="1"/>
    <x:col min="8" max="8" width="11.630000114440918" hidden="0" customWidth="1"/>
  </x:cols>
  <x:sheetData>
    <x:row r="1" ht="19.200000762939453" hidden="0" customHeight="1">
      <x:c r="A1" s="98" t="str">
        <x:v>ExcelT 사용 안내</x:v>
      </x:c>
      <x:c r="B1" s="98"/>
      <x:c r="C1" s="98"/>
      <x:c r="D1" s="98"/>
      <x:c r="E1" s="98"/>
      <x:c r="F1" s="98"/>
      <x:c r="G1" s="98"/>
      <x:c r="H1" s="98"/>
      <x:c r="I1" s="2"/>
      <x:c r="J1" s="2"/>
      <x:c r="K1" s="2"/>
      <x:c r="L1" s="2"/>
      <x:c r="M1" s="2"/>
      <x:c r="N1" s="2"/>
    </x:row>
    <x:row r="2" ht="15" hidden="0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5" hidden="0" customHeight="1">
      <x:c r="A3" s="16" t="str">
        <x:v>구분</x:v>
      </x:c>
      <x:c r="B3" s="16" t="str">
        <x:v>표현</x:v>
      </x:c>
      <x:c r="C3" s="16" t="str">
        <x:v>의미</x:v>
      </x:c>
      <x:c r="D3" s="16" t="str">
        <x:v>사용자 행동</x:v>
      </x:c>
      <x:c r="E3" s="2"/>
      <x:c r="F3" s="16" t="str">
        <x:v>테마 토큰</x:v>
      </x:c>
      <x:c r="G3" s="16" t="str">
        <x:v>값</x:v>
      </x:c>
      <x:c r="H3" s="16" t="str">
        <x:v>주요 용도</x:v>
      </x:c>
      <x:c r="I3" s="2"/>
      <x:c r="J3" s="2"/>
      <x:c r="K3" s="2"/>
      <x:c r="L3" s="2"/>
      <x:c r="M3" s="2"/>
      <x:c r="N3" s="2"/>
    </x:row>
    <x:row r="4" ht="15" hidden="0" customHeight="1">
      <x:c r="A4" s="101" t="str">
        <x:v>입력값</x:v>
      </x:c>
      <x:c r="B4" s="100" t="str">
        <x:v>파란 글자 / 노란 셀</x:v>
      </x:c>
      <x:c r="C4" s="100" t="str">
        <x:v>사용자가 입력하거나 바꾸는 값</x:v>
      </x:c>
      <x:c r="D4" s="100" t="str">
        <x:v>클릭, 입력, 붙여넣기</x:v>
      </x:c>
      <x:c r="E4" s="2"/>
      <x:c r="F4" s="86" t="str">
        <x:v>Brand</x:v>
      </x:c>
      <x:c r="G4" s="82" t="str">
        <x:v>#107C41</x:v>
      </x:c>
      <x:c r="H4" s="86" t="str">
        <x:v>제목/주요 액션</x:v>
      </x:c>
      <x:c r="I4" s="2"/>
      <x:c r="J4" s="2"/>
      <x:c r="K4" s="2"/>
      <x:c r="L4" s="2"/>
      <x:c r="M4" s="2"/>
      <x:c r="N4" s="2"/>
    </x:row>
    <x:row r="5" ht="15" hidden="0" customHeight="1">
      <x:c r="A5" s="100" t="str">
        <x:v>계산값</x:v>
      </x:c>
      <x:c r="B5" s="100" t="str">
        <x:v>검정 글자 / 흰 셀</x:v>
      </x:c>
      <x:c r="C5" s="100" t="str">
        <x:v>수식으로 계산된 결과</x:v>
      </x:c>
      <x:c r="D5" s="100" t="str">
        <x:v>읽기, 계산식 확인</x:v>
      </x:c>
      <x:c r="E5" s="2"/>
      <x:c r="F5" s="86" t="str">
        <x:v>Brand dark</x:v>
      </x:c>
      <x:c r="G5" s="107" t="str">
        <x:v>#185C37</x:v>
      </x:c>
      <x:c r="H5" s="86" t="str">
        <x:v>강조</x:v>
      </x:c>
      <x:c r="I5" s="2"/>
      <x:c r="J5" s="2"/>
      <x:c r="K5" s="2"/>
      <x:c r="L5" s="2"/>
      <x:c r="M5" s="2"/>
      <x:c r="N5" s="2"/>
    </x:row>
    <x:row r="6" ht="15" hidden="0" customHeight="1">
      <x:c r="A6" s="100" t="str">
        <x:v>연결값</x:v>
      </x:c>
      <x:c r="B6" s="100" t="str">
        <x:v>초록 계열</x:v>
      </x:c>
      <x:c r="C6" s="100" t="str">
        <x:v>다른 시트 또는 원본에서 연결</x:v>
      </x:c>
      <x:c r="D6" s="100" t="str">
        <x:v>원본으로 이동</x:v>
      </x:c>
      <x:c r="E6" s="2"/>
      <x:c r="F6" s="86" t="str">
        <x:v>Selection</x:v>
      </x:c>
      <x:c r="G6" s="109" t="str">
        <x:v>#217346</x:v>
      </x:c>
      <x:c r="H6" s="86" t="str">
        <x:v>활성 셀/범위</x:v>
      </x:c>
      <x:c r="I6" s="2"/>
      <x:c r="J6" s="2"/>
      <x:c r="K6" s="2"/>
      <x:c r="L6" s="2"/>
      <x:c r="M6" s="2"/>
      <x:c r="N6" s="2"/>
    </x:row>
    <x:row r="7" ht="15" hidden="0" customHeight="1">
      <x:c r="A7" s="102" t="str">
        <x:v>상승</x:v>
      </x:c>
      <x:c r="B7" s="100" t="str">
        <x:v>Muted red</x:v>
      </x:c>
      <x:c r="C7" s="100" t="str">
        <x:v>한국 주식시장 상승</x:v>
      </x:c>
      <x:c r="D7" s="100" t="str">
        <x:v>조건부 서식으로 확인</x:v>
      </x:c>
      <x:c r="E7" s="2"/>
      <x:c r="F7" s="86" t="str">
        <x:v>Text</x:v>
      </x:c>
      <x:c r="G7" s="111" t="str">
        <x:v>#252423</x:v>
      </x:c>
      <x:c r="H7" s="86" t="str">
        <x:v>본문</x:v>
      </x:c>
      <x:c r="I7" s="2"/>
      <x:c r="J7" s="2"/>
      <x:c r="K7" s="2"/>
      <x:c r="L7" s="2"/>
      <x:c r="M7" s="2"/>
      <x:c r="N7" s="2"/>
    </x:row>
    <x:row r="8" ht="15" hidden="0" customHeight="1">
      <x:c r="A8" s="103" t="str">
        <x:v>하락</x:v>
      </x:c>
      <x:c r="B8" s="100" t="str">
        <x:v>Muted blue</x:v>
      </x:c>
      <x:c r="C8" s="100" t="str">
        <x:v>한국 주식시장 하락</x:v>
      </x:c>
      <x:c r="D8" s="100" t="str">
        <x:v>조건부 서식으로 확인</x:v>
      </x:c>
      <x:c r="E8" s="2"/>
      <x:c r="F8" s="86" t="str">
        <x:v>Section</x:v>
      </x:c>
      <x:c r="G8" s="112" t="str">
        <x:v>#F3F6F4</x:v>
      </x:c>
      <x:c r="H8" s="86" t="str">
        <x:v>헤더</x:v>
      </x:c>
      <x:c r="I8" s="2"/>
      <x:c r="J8" s="2"/>
      <x:c r="K8" s="2"/>
      <x:c r="L8" s="2"/>
      <x:c r="M8" s="2"/>
      <x:c r="N8" s="2"/>
    </x:row>
    <x:row r="9" ht="15" hidden="0" customHeight="1">
      <x:c r="A9" s="104" t="str">
        <x:v>오류</x:v>
      </x:c>
      <x:c r="B9" s="100" t="str">
        <x:v>빨간 글자</x:v>
      </x:c>
      <x:c r="C9" s="100" t="str">
        <x:v>수정이 필요한 입력 또는 계산</x:v>
      </x:c>
      <x:c r="D9" s="100" t="str">
        <x:v>구체적인 오류 메시지 확인</x:v>
      </x:c>
      <x:c r="E9" s="2"/>
      <x:c r="F9" s="86" t="str">
        <x:v>Grid</x:v>
      </x:c>
      <x:c r="G9" s="113" t="str">
        <x:v>#DCDEDD</x:v>
      </x:c>
      <x:c r="H9" s="86" t="str">
        <x:v>선</x:v>
      </x:c>
      <x:c r="I9" s="2"/>
      <x:c r="J9" s="2"/>
      <x:c r="K9" s="2"/>
      <x:c r="L9" s="2"/>
      <x:c r="M9" s="2"/>
      <x:c r="N9" s="2"/>
    </x:row>
    <x:row r="10" ht="15" hidden="0" customHeight="1">
      <x:c r="A10" s="100" t="str">
        <x:v>없음</x:v>
      </x:c>
      <x:c r="B10" s="100" t="str">
        <x:v>n.a. / 빈칸</x:v>
      </x:c>
      <x:c r="C10" s="100" t="str">
        <x:v>값이 없거나 적용되지 않음</x:v>
      </x:c>
      <x:c r="D10" s="100" t="str">
        <x:v>0으로 오해하지 않기</x:v>
      </x:c>
      <x:c r="E10" s="2"/>
      <x:c r="F10" s="86" t="str">
        <x:v>Up</x:v>
      </x:c>
      <x:c r="G10" s="115" t="str">
        <x:v>#A34D4D</x:v>
      </x:c>
      <x:c r="H10" s="86" t="str">
        <x:v>상승</x:v>
      </x:c>
      <x:c r="I10" s="2"/>
      <x:c r="J10" s="2"/>
      <x:c r="K10" s="2"/>
      <x:c r="L10" s="2"/>
      <x:c r="M10" s="2"/>
      <x:c r="N10" s="2"/>
    </x:row>
    <x:row r="11" ht="15" hidden="0" customHeight="1">
      <x:c r="A11" s="2"/>
      <x:c r="B11" s="2"/>
      <x:c r="C11" s="2"/>
      <x:c r="D11" s="2"/>
      <x:c r="E11" s="2"/>
      <x:c r="F11" s="86" t="str">
        <x:v>Down</x:v>
      </x:c>
      <x:c r="G11" s="117" t="str">
        <x:v>#3F6F9F</x:v>
      </x:c>
      <x:c r="H11" s="86" t="str">
        <x:v>하락</x:v>
      </x:c>
      <x:c r="I11" s="2"/>
      <x:c r="J11" s="2"/>
      <x:c r="K11" s="2"/>
      <x:c r="L11" s="2"/>
      <x:c r="M11" s="2"/>
      <x:c r="N11" s="2"/>
    </x:row>
    <x:row r="12" ht="15" hidden="0" customHeight="1">
      <x:c r="A12" s="16" t="str">
        <x:v>키보드</x:v>
      </x:c>
      <x:c r="B12" s="16" t="str">
        <x:v>동작</x:v>
      </x:c>
      <x:c r="C12" s="16" t="str">
        <x:v>기대 결과</x:v>
      </x:c>
      <x:c r="D12" s="16" t="str">
        <x:v>비고</x:v>
      </x:c>
      <x:c r="E12" s="2"/>
      <x:c r="F12" s="86" t="str">
        <x:v>Link</x:v>
      </x:c>
      <x:c r="G12" s="119" t="str">
        <x:v>#3567B3</x:v>
      </x:c>
      <x:c r="H12" s="86" t="str">
        <x:v>연결/보조색</x:v>
      </x:c>
      <x:c r="I12" s="2"/>
      <x:c r="J12" s="2"/>
      <x:c r="K12" s="2"/>
      <x:c r="L12" s="2"/>
      <x:c r="M12" s="2"/>
      <x:c r="N12" s="2"/>
    </x:row>
    <x:row r="13" ht="15" hidden="0" customHeight="1">
      <x:c r="A13" s="100" t="str">
        <x:v>Enter</x:v>
      </x:c>
      <x:c r="B13" s="100" t="str">
        <x:v>입력 확정</x:v>
      </x:c>
      <x:c r="C13" s="100" t="str">
        <x:v>다음 행으로 이동</x:v>
      </x:c>
      <x:c r="D13" s="100" t="str">
        <x:v>웹 구현 시 동일하게 유지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15" hidden="0" customHeight="1">
      <x:c r="A14" s="100" t="str">
        <x:v>Tab</x:v>
      </x:c>
      <x:c r="B14" s="100" t="str">
        <x:v>입력 확정</x:v>
      </x:c>
      <x:c r="C14" s="100" t="str">
        <x:v>다음 열로 이동</x:v>
      </x:c>
      <x:c r="D14" s="100" t="str">
        <x:v>Shift+Tab은 반대 방향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15" hidden="0" customHeight="1">
      <x:c r="A15" s="100" t="str">
        <x:v>Esc</x:v>
      </x:c>
      <x:c r="B15" s="100" t="str">
        <x:v>입력 취소</x:v>
      </x:c>
      <x:c r="C15" s="100" t="str">
        <x:v>직전 값 복원</x:v>
      </x:c>
      <x:c r="D15" s="100" t="str">
        <x:v>미확정 입력은 저장하지 않음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15" hidden="0" customHeight="1">
      <x:c r="A16" s="100" t="str">
        <x:v>Ctrl/Cmd+C</x:v>
      </x:c>
      <x:c r="B16" s="100" t="str">
        <x:v>복사</x:v>
      </x:c>
      <x:c r="C16" s="100" t="str">
        <x:v>원본 값과 수식 보존</x:v>
      </x:c>
      <x:c r="D16" s="100" t="str">
        <x:v>렌더링 문자열만 복사하지 않음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15" hidden="0" customHeight="1">
      <x:c r="A17" s="100" t="str">
        <x:v>Ctrl/Cmd+V</x:v>
      </x:c>
      <x:c r="B17" s="100" t="str">
        <x:v>붙여넣기</x:v>
      </x:c>
      <x:c r="C17" s="100" t="str">
        <x:v>직사각형 범위 입력</x:v>
      </x:c>
      <x:c r="D17" s="100" t="str">
        <x:v>셀 단위 오류 표시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15" hidden="0" customHeight="1">
      <x:c r="A18" s="100" t="str">
        <x:v>Delete</x:v>
      </x:c>
      <x:c r="B18" s="100" t="str">
        <x:v>값 지우기</x:v>
      </x:c>
      <x:c r="C18" s="100" t="str">
        <x:v>선택 범위의 값만 삭제</x:v>
      </x:c>
      <x:c r="D18" s="100" t="str">
        <x:v>행 삭제와 분리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15" hidden="0" customHeight="1">
      <x:c r="A19" s="100" t="str">
        <x:v>Ctrl/Cmd+Z</x:v>
      </x:c>
      <x:c r="B19" s="100" t="str">
        <x:v>실행 취소</x:v>
      </x:c>
      <x:c r="C19" s="100" t="str">
        <x:v>직전 입력/서식 되돌리기</x:v>
      </x:c>
      <x:c r="D19" s="100" t="str">
        <x:v>가능한 경우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</x:sheetData>
  <x:mergeCells>
    <x:mergeCell ref="A1:H1"/>
  </x:mergeCells>
  <x:pageMargins left="0.7" right="0.7" top="0.75" bottom="0.75" header="0.3" footer="0.3"/>
</x:worksheet>
</file>